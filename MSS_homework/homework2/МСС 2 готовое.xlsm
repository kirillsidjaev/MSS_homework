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64011"/>
  <bookViews>
    <workbookView xWindow="0" yWindow="0" windowWidth="22260" windowHeight="12645"/>
  </bookViews>
  <sheets>
    <sheet name="Неявная схема" sheetId="1" r:id="rId1"/>
    <sheet name="Явная схема" sheetId="2" r:id="rId2"/>
  </sheets>
  <externalReferences>
    <externalReference r:id="rId3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2" l="1"/>
  <c r="G12" i="2" s="1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C5" i="2" l="1"/>
  <c r="AI16" i="2" l="1"/>
  <c r="AH16" i="2"/>
  <c r="AG16" i="2"/>
  <c r="AC16" i="2"/>
  <c r="Y16" i="2"/>
  <c r="U16" i="2"/>
  <c r="Q16" i="2"/>
  <c r="M16" i="2"/>
  <c r="I16" i="2"/>
  <c r="AF16" i="2"/>
  <c r="AB16" i="2"/>
  <c r="X16" i="2"/>
  <c r="T16" i="2"/>
  <c r="P16" i="2"/>
  <c r="L16" i="2"/>
  <c r="H16" i="2"/>
  <c r="AE16" i="2"/>
  <c r="AA16" i="2"/>
  <c r="W16" i="2"/>
  <c r="S16" i="2"/>
  <c r="O16" i="2"/>
  <c r="K16" i="2"/>
  <c r="G16" i="2"/>
  <c r="AD16" i="2"/>
  <c r="Z16" i="2"/>
  <c r="V16" i="2"/>
  <c r="R16" i="2"/>
  <c r="N16" i="2"/>
  <c r="J16" i="2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AF22" i="1"/>
  <c r="AG22" i="1"/>
  <c r="AH22" i="1"/>
  <c r="AI22" i="1"/>
  <c r="F22" i="1"/>
  <c r="C5" i="1" l="1"/>
  <c r="C16" i="1" l="1"/>
  <c r="AJ16" i="1" l="1"/>
  <c r="C17" i="1"/>
  <c r="C15" i="1"/>
  <c r="G21" i="1" l="1"/>
  <c r="G20" i="1"/>
  <c r="H20" i="1" s="1"/>
  <c r="I20" i="1" s="1"/>
  <c r="J20" i="1" s="1"/>
  <c r="K20" i="1" s="1"/>
  <c r="L20" i="1" s="1"/>
  <c r="M20" i="1" s="1"/>
  <c r="N20" i="1" s="1"/>
  <c r="O20" i="1" s="1"/>
  <c r="P20" i="1" s="1"/>
  <c r="Q20" i="1" s="1"/>
  <c r="R20" i="1" s="1"/>
  <c r="S20" i="1" s="1"/>
  <c r="T20" i="1" s="1"/>
  <c r="U20" i="1" s="1"/>
  <c r="V20" i="1" s="1"/>
  <c r="W20" i="1" s="1"/>
  <c r="X20" i="1" s="1"/>
  <c r="Y20" i="1" s="1"/>
  <c r="Z20" i="1" s="1"/>
  <c r="AA20" i="1" s="1"/>
  <c r="AB20" i="1" s="1"/>
  <c r="AC20" i="1" s="1"/>
  <c r="AD20" i="1" s="1"/>
  <c r="AE20" i="1" s="1"/>
  <c r="AF20" i="1" s="1"/>
  <c r="AG20" i="1" s="1"/>
  <c r="AH20" i="1" s="1"/>
  <c r="AI20" i="1" s="1"/>
  <c r="G12" i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C4" i="1"/>
  <c r="H21" i="1" l="1"/>
  <c r="I21" i="1" s="1"/>
  <c r="J21" i="1" s="1"/>
  <c r="K21" i="1" s="1"/>
  <c r="L21" i="1" s="1"/>
  <c r="M21" i="1" s="1"/>
  <c r="N21" i="1" s="1"/>
  <c r="O21" i="1" s="1"/>
  <c r="P21" i="1" s="1"/>
  <c r="Q21" i="1" s="1"/>
  <c r="R21" i="1" s="1"/>
  <c r="S21" i="1" s="1"/>
  <c r="T21" i="1" s="1"/>
  <c r="U21" i="1" s="1"/>
  <c r="V21" i="1" s="1"/>
  <c r="W21" i="1" s="1"/>
  <c r="X21" i="1" s="1"/>
  <c r="Y21" i="1" s="1"/>
  <c r="Z21" i="1" s="1"/>
  <c r="AA21" i="1" s="1"/>
  <c r="AB21" i="1" s="1"/>
  <c r="AC21" i="1" s="1"/>
  <c r="AD21" i="1" s="1"/>
  <c r="AE21" i="1" s="1"/>
  <c r="AF21" i="1" s="1"/>
  <c r="AG21" i="1" s="1"/>
  <c r="AH21" i="1" s="1"/>
  <c r="AI21" i="1" s="1"/>
  <c r="AI16" i="1" s="1"/>
  <c r="AH16" i="1" s="1"/>
  <c r="AG16" i="1" s="1"/>
  <c r="AF16" i="1" s="1"/>
  <c r="AE16" i="1" s="1"/>
  <c r="AD16" i="1" s="1"/>
  <c r="AC16" i="1" s="1"/>
  <c r="AB16" i="1" s="1"/>
  <c r="AA16" i="1" s="1"/>
  <c r="Z16" i="1" s="1"/>
  <c r="Y16" i="1" s="1"/>
  <c r="X16" i="1" s="1"/>
  <c r="W16" i="1" s="1"/>
  <c r="V16" i="1" s="1"/>
  <c r="U16" i="1" s="1"/>
  <c r="T16" i="1" s="1"/>
  <c r="S16" i="1" s="1"/>
  <c r="R16" i="1" s="1"/>
  <c r="Q16" i="1" s="1"/>
  <c r="P16" i="1" s="1"/>
  <c r="O16" i="1" s="1"/>
  <c r="N16" i="1" s="1"/>
  <c r="M16" i="1" s="1"/>
  <c r="L16" i="1" s="1"/>
  <c r="K16" i="1" s="1"/>
  <c r="J16" i="1" s="1"/>
  <c r="I16" i="1" s="1"/>
  <c r="H16" i="1" s="1"/>
  <c r="G16" i="1" s="1"/>
</calcChain>
</file>

<file path=xl/sharedStrings.xml><?xml version="1.0" encoding="utf-8"?>
<sst xmlns="http://schemas.openxmlformats.org/spreadsheetml/2006/main" count="31" uniqueCount="18">
  <si>
    <t>L</t>
  </si>
  <si>
    <t>dx</t>
  </si>
  <si>
    <t>dt</t>
  </si>
  <si>
    <t>t</t>
  </si>
  <si>
    <t>Cp</t>
  </si>
  <si>
    <t>ro</t>
  </si>
  <si>
    <t>lambda</t>
  </si>
  <si>
    <t>T</t>
  </si>
  <si>
    <t>T_st</t>
  </si>
  <si>
    <t>T_end</t>
  </si>
  <si>
    <t>T_lt</t>
  </si>
  <si>
    <t>q</t>
  </si>
  <si>
    <t>А</t>
  </si>
  <si>
    <t>В</t>
  </si>
  <si>
    <t>С</t>
  </si>
  <si>
    <t>alpha</t>
  </si>
  <si>
    <t>betta</t>
  </si>
  <si>
    <t>Fi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</si>
</sst>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"/>
    <numFmt numFmtId="165" formatCode="0.0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/>
    <xf numFmtId="164" fontId="0" fillId="0" borderId="1" xfId="0" applyNumberFormat="1" applyBorder="1"/>
    <xf numFmtId="0" fontId="0" fillId="0" borderId="1" xfId="0" applyBorder="1" applyAlignment="1">
      <alignment horizontal="center"/>
    </xf>
    <xf numFmtId="165" fontId="0" fillId="0" borderId="1" xfId="0" applyNumberFormat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'Неявная схема'!$F$12:$AJ$12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280.20114262798575</c:v>
                </c:pt>
                <c:pt idx="2">
                  <c:v>260.57053452366904</c:v>
                </c:pt>
                <c:pt idx="3">
                  <c:v>241.27335396752636</c:v>
                </c:pt>
                <c:pt idx="4">
                  <c:v>222.46874067679317</c:v>
                </c:pt>
                <c:pt idx="5">
                  <c:v>204.30702925674697</c:v>
                </c:pt>
                <c:pt idx="6">
                  <c:v>186.92727013670742</c:v>
                </c:pt>
                <c:pt idx="7">
                  <c:v>170.45510875086381</c:v>
                </c:pt>
                <c:pt idx="8">
                  <c:v>155.00107463428773</c:v>
                </c:pt>
                <c:pt idx="9">
                  <c:v>140.65931099015722</c:v>
                </c:pt>
                <c:pt idx="10">
                  <c:v>127.5067536180474</c:v>
                </c:pt>
                <c:pt idx="11">
                  <c:v>115.60274732960713</c:v>
                </c:pt>
                <c:pt idx="12">
                  <c:v>104.98906943559072</c:v>
                </c:pt>
                <c:pt idx="13">
                  <c:v>95.690314648076594</c:v>
                </c:pt>
                <c:pt idx="14">
                  <c:v>87.714584570723446</c:v>
                </c:pt>
                <c:pt idx="15">
                  <c:v>81.054418255410752</c:v>
                </c:pt>
                <c:pt idx="16">
                  <c:v>75.68789812172092</c:v>
                </c:pt>
                <c:pt idx="17">
                  <c:v>71.579867553261167</c:v>
                </c:pt>
                <c:pt idx="18">
                  <c:v>68.68320209085141</c:v>
                </c:pt>
                <c:pt idx="19">
                  <c:v>66.940084503407604</c:v>
                </c:pt>
                <c:pt idx="20">
                  <c:v>66.283244166503039</c:v>
                </c:pt>
                <c:pt idx="21">
                  <c:v>66.637132112902975</c:v>
                </c:pt>
                <c:pt idx="22">
                  <c:v>67.919013891339318</c:v>
                </c:pt>
                <c:pt idx="23">
                  <c:v>70.039972168091296</c:v>
                </c:pt>
                <c:pt idx="24">
                  <c:v>72.905819217013814</c:v>
                </c:pt>
                <c:pt idx="25">
                  <c:v>76.417925689672472</c:v>
                </c:pt>
                <c:pt idx="26">
                  <c:v>80.473976208137344</c:v>
                </c:pt>
                <c:pt idx="27">
                  <c:v>84.968664482862408</c:v>
                </c:pt>
                <c:pt idx="28">
                  <c:v>89.794341128753075</c:v>
                </c:pt>
                <c:pt idx="29">
                  <c:v>94.841626578966242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84-408B-9558-2D9554E4D4C0}"/>
            </c:ext>
          </c:extLst>
        </c:ser>
        <c:ser>
          <c:idx val="1"/>
          <c:order val="1"/>
          <c:tx>
            <c:v>2</c:v>
          </c:tx>
          <c:spPr>
            <a:ln w="1905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'Явная схема'!$F$12:$AJ$12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280.34602914679897</c:v>
                </c:pt>
                <c:pt idx="2">
                  <c:v>260.69205829359794</c:v>
                </c:pt>
                <c:pt idx="3">
                  <c:v>241.69187227593491</c:v>
                </c:pt>
                <c:pt idx="4">
                  <c:v>222.69168625827183</c:v>
                </c:pt>
                <c:pt idx="5">
                  <c:v>204.95390631913148</c:v>
                </c:pt>
                <c:pt idx="6">
                  <c:v>187.21612637999107</c:v>
                </c:pt>
                <c:pt idx="7">
                  <c:v>171.26453784334268</c:v>
                </c:pt>
                <c:pt idx="8">
                  <c:v>155.31294930669429</c:v>
                </c:pt>
                <c:pt idx="9">
                  <c:v>141.55671337374599</c:v>
                </c:pt>
                <c:pt idx="10">
                  <c:v>127.80047744079765</c:v>
                </c:pt>
                <c:pt idx="11">
                  <c:v>116.51671674932982</c:v>
                </c:pt>
                <c:pt idx="12">
                  <c:v>105.23295605786197</c:v>
                </c:pt>
                <c:pt idx="13">
                  <c:v>96.561989352755049</c:v>
                </c:pt>
                <c:pt idx="14">
                  <c:v>87.891022647648128</c:v>
                </c:pt>
                <c:pt idx="15">
                  <c:v>81.842538774051832</c:v>
                </c:pt>
                <c:pt idx="16">
                  <c:v>75.794054900455549</c:v>
                </c:pt>
                <c:pt idx="17">
                  <c:v>72.261187114604226</c:v>
                </c:pt>
                <c:pt idx="18">
                  <c:v>68.728319328752917</c:v>
                </c:pt>
                <c:pt idx="19">
                  <c:v>67.506108522455037</c:v>
                </c:pt>
                <c:pt idx="20">
                  <c:v>66.283897716157142</c:v>
                </c:pt>
                <c:pt idx="21">
                  <c:v>67.088962026000345</c:v>
                </c:pt>
                <c:pt idx="22">
                  <c:v>67.894026335843549</c:v>
                </c:pt>
                <c:pt idx="23">
                  <c:v>70.383127200086093</c:v>
                </c:pt>
                <c:pt idx="24">
                  <c:v>72.872228064328638</c:v>
                </c:pt>
                <c:pt idx="25">
                  <c:v>76.658491877071754</c:v>
                </c:pt>
                <c:pt idx="26">
                  <c:v>80.444755689814855</c:v>
                </c:pt>
                <c:pt idx="27">
                  <c:v>85.111263870845988</c:v>
                </c:pt>
                <c:pt idx="28">
                  <c:v>89.777772051877108</c:v>
                </c:pt>
                <c:pt idx="29">
                  <c:v>94.888886025938547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A8-4214-847B-F760397B70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5825407"/>
        <c:axId val="365825823"/>
      </c:scatterChart>
      <c:valAx>
        <c:axId val="3658254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5825823"/>
        <c:crosses val="autoZero"/>
        <c:crossBetween val="midCat"/>
      </c:valAx>
      <c:valAx>
        <c:axId val="365825823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58254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'Явная схема'!$F$12:$AJ$12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280.34602914679897</c:v>
                </c:pt>
                <c:pt idx="2">
                  <c:v>260.69205829359794</c:v>
                </c:pt>
                <c:pt idx="3">
                  <c:v>241.69187227593491</c:v>
                </c:pt>
                <c:pt idx="4">
                  <c:v>222.69168625827183</c:v>
                </c:pt>
                <c:pt idx="5">
                  <c:v>204.95390631913148</c:v>
                </c:pt>
                <c:pt idx="6">
                  <c:v>187.21612637999107</c:v>
                </c:pt>
                <c:pt idx="7">
                  <c:v>171.26453784334268</c:v>
                </c:pt>
                <c:pt idx="8">
                  <c:v>155.31294930669429</c:v>
                </c:pt>
                <c:pt idx="9">
                  <c:v>141.55671337374599</c:v>
                </c:pt>
                <c:pt idx="10">
                  <c:v>127.80047744079765</c:v>
                </c:pt>
                <c:pt idx="11">
                  <c:v>116.51671674932982</c:v>
                </c:pt>
                <c:pt idx="12">
                  <c:v>105.23295605786197</c:v>
                </c:pt>
                <c:pt idx="13">
                  <c:v>96.561989352755049</c:v>
                </c:pt>
                <c:pt idx="14">
                  <c:v>87.891022647648128</c:v>
                </c:pt>
                <c:pt idx="15">
                  <c:v>81.842538774051832</c:v>
                </c:pt>
                <c:pt idx="16">
                  <c:v>75.794054900455549</c:v>
                </c:pt>
                <c:pt idx="17">
                  <c:v>72.261187114604226</c:v>
                </c:pt>
                <c:pt idx="18">
                  <c:v>68.728319328752917</c:v>
                </c:pt>
                <c:pt idx="19">
                  <c:v>67.506108522455037</c:v>
                </c:pt>
                <c:pt idx="20">
                  <c:v>66.283897716157142</c:v>
                </c:pt>
                <c:pt idx="21">
                  <c:v>67.088962026000345</c:v>
                </c:pt>
                <c:pt idx="22">
                  <c:v>67.894026335843549</c:v>
                </c:pt>
                <c:pt idx="23">
                  <c:v>70.383127200086093</c:v>
                </c:pt>
                <c:pt idx="24">
                  <c:v>72.872228064328638</c:v>
                </c:pt>
                <c:pt idx="25">
                  <c:v>76.658491877071754</c:v>
                </c:pt>
                <c:pt idx="26">
                  <c:v>80.444755689814855</c:v>
                </c:pt>
                <c:pt idx="27">
                  <c:v>85.111263870845988</c:v>
                </c:pt>
                <c:pt idx="28">
                  <c:v>89.777772051877108</c:v>
                </c:pt>
                <c:pt idx="29">
                  <c:v>94.888886025938547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8D6-4B9B-84F2-0209A3367D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5825407"/>
        <c:axId val="365825823"/>
      </c:scatterChart>
      <c:valAx>
        <c:axId val="3658254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5825823"/>
        <c:crosses val="autoZero"/>
        <c:crossBetween val="midCat"/>
      </c:valAx>
      <c:valAx>
        <c:axId val="365825823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58254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'Явная схема'!$F$12:$AJ$12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280.34602914679897</c:v>
                </c:pt>
                <c:pt idx="2">
                  <c:v>260.69205829359794</c:v>
                </c:pt>
                <c:pt idx="3">
                  <c:v>241.69187227593491</c:v>
                </c:pt>
                <c:pt idx="4">
                  <c:v>222.69168625827183</c:v>
                </c:pt>
                <c:pt idx="5">
                  <c:v>204.95390631913148</c:v>
                </c:pt>
                <c:pt idx="6">
                  <c:v>187.21612637999107</c:v>
                </c:pt>
                <c:pt idx="7">
                  <c:v>171.26453784334268</c:v>
                </c:pt>
                <c:pt idx="8">
                  <c:v>155.31294930669429</c:v>
                </c:pt>
                <c:pt idx="9">
                  <c:v>141.55671337374599</c:v>
                </c:pt>
                <c:pt idx="10">
                  <c:v>127.80047744079765</c:v>
                </c:pt>
                <c:pt idx="11">
                  <c:v>116.51671674932982</c:v>
                </c:pt>
                <c:pt idx="12">
                  <c:v>105.23295605786197</c:v>
                </c:pt>
                <c:pt idx="13">
                  <c:v>96.561989352755049</c:v>
                </c:pt>
                <c:pt idx="14">
                  <c:v>87.891022647648128</c:v>
                </c:pt>
                <c:pt idx="15">
                  <c:v>81.842538774051832</c:v>
                </c:pt>
                <c:pt idx="16">
                  <c:v>75.794054900455549</c:v>
                </c:pt>
                <c:pt idx="17">
                  <c:v>72.261187114604226</c:v>
                </c:pt>
                <c:pt idx="18">
                  <c:v>68.728319328752917</c:v>
                </c:pt>
                <c:pt idx="19">
                  <c:v>67.506108522455037</c:v>
                </c:pt>
                <c:pt idx="20">
                  <c:v>66.283897716157142</c:v>
                </c:pt>
                <c:pt idx="21">
                  <c:v>67.088962026000345</c:v>
                </c:pt>
                <c:pt idx="22">
                  <c:v>67.894026335843549</c:v>
                </c:pt>
                <c:pt idx="23">
                  <c:v>70.383127200086093</c:v>
                </c:pt>
                <c:pt idx="24">
                  <c:v>72.872228064328638</c:v>
                </c:pt>
                <c:pt idx="25">
                  <c:v>76.658491877071754</c:v>
                </c:pt>
                <c:pt idx="26">
                  <c:v>80.444755689814855</c:v>
                </c:pt>
                <c:pt idx="27">
                  <c:v>85.111263870845988</c:v>
                </c:pt>
                <c:pt idx="28">
                  <c:v>89.777772051877108</c:v>
                </c:pt>
                <c:pt idx="29">
                  <c:v>94.888886025938547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468-447D-B9E8-12DFB5359E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5825407"/>
        <c:axId val="365825823"/>
      </c:scatterChart>
      <c:valAx>
        <c:axId val="3658254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5825823"/>
        <c:crosses val="autoZero"/>
        <c:crossBetween val="midCat"/>
      </c:valAx>
      <c:valAx>
        <c:axId val="365825823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58254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509166</xdr:colOff>
      <xdr:row>28</xdr:row>
      <xdr:rowOff>23512</xdr:rowOff>
    </xdr:from>
    <xdr:to>
      <xdr:col>31</xdr:col>
      <xdr:colOff>122861</xdr:colOff>
      <xdr:row>53</xdr:row>
      <xdr:rowOff>42561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23</xdr:col>
      <xdr:colOff>505609</xdr:colOff>
      <xdr:row>28</xdr:row>
      <xdr:rowOff>57273</xdr:rowOff>
    </xdr:from>
    <xdr:ext cx="458908" cy="219163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2"/>
            <xdr:cNvSpPr txBox="1"/>
          </xdr:nvSpPr>
          <xdr:spPr>
            <a:xfrm>
              <a:off x="16791798" y="5303830"/>
              <a:ext cx="45890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𝑪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400" b="1"/>
            </a:p>
          </xdr:txBody>
        </xdr:sp>
      </mc:Choice>
      <mc:Fallback>
        <xdr:sp macro="" textlink="">
          <xdr:nvSpPr>
            <xdr:cNvPr id="3" name="TextBox 2"/>
            <xdr:cNvSpPr txBox="1"/>
          </xdr:nvSpPr>
          <xdr:spPr>
            <a:xfrm>
              <a:off x="16791798" y="5303830"/>
              <a:ext cx="45890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400" b="1" i="0">
                  <a:latin typeface="Cambria Math" panose="02040503050406030204" pitchFamily="18" charset="0"/>
                </a:rPr>
                <a:t>𝑻,[𝑪]</a:t>
              </a:r>
              <a:endParaRPr lang="ru-RU" sz="1400" b="1"/>
            </a:p>
          </xdr:txBody>
        </xdr:sp>
      </mc:Fallback>
    </mc:AlternateContent>
    <xdr:clientData/>
  </xdr:oneCellAnchor>
  <xdr:oneCellAnchor>
    <xdr:from>
      <xdr:col>30</xdr:col>
      <xdr:colOff>609624</xdr:colOff>
      <xdr:row>51</xdr:row>
      <xdr:rowOff>178323</xdr:rowOff>
    </xdr:from>
    <xdr:ext cx="434799" cy="219163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TextBox 3"/>
            <xdr:cNvSpPr txBox="1"/>
          </xdr:nvSpPr>
          <xdr:spPr>
            <a:xfrm>
              <a:off x="23844378" y="9734553"/>
              <a:ext cx="434799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1" i="1">
                  <a:latin typeface="+mn-lt"/>
                </a:rPr>
                <a:t>L</a:t>
              </a:r>
              <a14:m>
                <m:oMath xmlns:m="http://schemas.openxmlformats.org/officeDocument/2006/math">
                  <m:r>
                    <a:rPr lang="en-US" sz="1400" b="1" i="1">
                      <a:latin typeface="Cambria Math" panose="02040503050406030204" pitchFamily="18" charset="0"/>
                    </a:rPr>
                    <m:t>,[</m:t>
                  </m:r>
                  <m:r>
                    <a:rPr lang="en-US" sz="1400" b="1" i="1">
                      <a:latin typeface="Cambria Math" panose="02040503050406030204" pitchFamily="18" charset="0"/>
                    </a:rPr>
                    <m:t>𝒎</m:t>
                  </m:r>
                  <m:r>
                    <a:rPr lang="en-US" sz="1400" b="1" i="1">
                      <a:latin typeface="Cambria Math" panose="02040503050406030204" pitchFamily="18" charset="0"/>
                    </a:rPr>
                    <m:t>]</m:t>
                  </m:r>
                </m:oMath>
              </a14:m>
              <a:endParaRPr lang="ru-RU" sz="1400" b="1"/>
            </a:p>
          </xdr:txBody>
        </xdr:sp>
      </mc:Choice>
      <mc:Fallback>
        <xdr:sp macro="" textlink="">
          <xdr:nvSpPr>
            <xdr:cNvPr id="4" name="TextBox 3"/>
            <xdr:cNvSpPr txBox="1"/>
          </xdr:nvSpPr>
          <xdr:spPr>
            <a:xfrm>
              <a:off x="23844378" y="9734553"/>
              <a:ext cx="434799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1" i="1">
                  <a:latin typeface="+mn-lt"/>
                </a:rPr>
                <a:t>L</a:t>
              </a:r>
              <a:r>
                <a:rPr lang="en-US" sz="1400" b="1" i="0">
                  <a:latin typeface="Cambria Math" panose="02040503050406030204" pitchFamily="18" charset="0"/>
                </a:rPr>
                <a:t>,[𝒎]</a:t>
              </a:r>
              <a:endParaRPr lang="ru-RU" sz="1400" b="1"/>
            </a:p>
          </xdr:txBody>
        </xdr:sp>
      </mc:Fallback>
    </mc:AlternateContent>
    <xdr:clientData/>
  </xdr:oneCellAnchor>
  <xdr:twoCellAnchor>
    <xdr:from>
      <xdr:col>8</xdr:col>
      <xdr:colOff>546517</xdr:colOff>
      <xdr:row>25</xdr:row>
      <xdr:rowOff>31230</xdr:rowOff>
    </xdr:from>
    <xdr:to>
      <xdr:col>18</xdr:col>
      <xdr:colOff>874427</xdr:colOff>
      <xdr:row>51</xdr:row>
      <xdr:rowOff>38170</xdr:rowOff>
    </xdr:to>
    <xdr:graphicFrame macro="">
      <xdr:nvGraphicFramePr>
        <xdr:cNvPr id="5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8</xdr:col>
      <xdr:colOff>536839</xdr:colOff>
      <xdr:row>25</xdr:row>
      <xdr:rowOff>31230</xdr:rowOff>
    </xdr:from>
    <xdr:ext cx="458908" cy="354509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6" name="TextBox 5"/>
            <xdr:cNvSpPr txBox="1"/>
          </xdr:nvSpPr>
          <xdr:spPr>
            <a:xfrm>
              <a:off x="5658478" y="4715656"/>
              <a:ext cx="458908" cy="354509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𝑪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400" b="1"/>
            </a:p>
          </xdr:txBody>
        </xdr:sp>
      </mc:Choice>
      <mc:Fallback>
        <xdr:sp macro="" textlink="">
          <xdr:nvSpPr>
            <xdr:cNvPr id="6" name="TextBox 5"/>
            <xdr:cNvSpPr txBox="1"/>
          </xdr:nvSpPr>
          <xdr:spPr>
            <a:xfrm>
              <a:off x="5658478" y="4715656"/>
              <a:ext cx="458908" cy="354509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400" b="1" i="0">
                  <a:latin typeface="Cambria Math" panose="02040503050406030204" pitchFamily="18" charset="0"/>
                </a:rPr>
                <a:t>𝑻,[𝑪]</a:t>
              </a:r>
              <a:endParaRPr lang="ru-RU" sz="1400" b="1"/>
            </a:p>
          </xdr:txBody>
        </xdr:sp>
      </mc:Fallback>
    </mc:AlternateContent>
    <xdr:clientData/>
  </xdr:oneCellAnchor>
  <xdr:oneCellAnchor>
    <xdr:from>
      <xdr:col>18</xdr:col>
      <xdr:colOff>391018</xdr:colOff>
      <xdr:row>49</xdr:row>
      <xdr:rowOff>162708</xdr:rowOff>
    </xdr:from>
    <xdr:ext cx="434799" cy="219163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7" name="TextBox 6"/>
            <xdr:cNvSpPr txBox="1"/>
          </xdr:nvSpPr>
          <xdr:spPr>
            <a:xfrm>
              <a:off x="11602411" y="9344183"/>
              <a:ext cx="434799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1" i="1">
                  <a:latin typeface="+mn-lt"/>
                </a:rPr>
                <a:t>L</a:t>
              </a:r>
              <a14:m>
                <m:oMath xmlns:m="http://schemas.openxmlformats.org/officeDocument/2006/math">
                  <m:r>
                    <a:rPr lang="en-US" sz="1400" b="1" i="1">
                      <a:latin typeface="Cambria Math" panose="02040503050406030204" pitchFamily="18" charset="0"/>
                    </a:rPr>
                    <m:t>,[</m:t>
                  </m:r>
                  <m:r>
                    <a:rPr lang="en-US" sz="1400" b="1" i="1">
                      <a:latin typeface="Cambria Math" panose="02040503050406030204" pitchFamily="18" charset="0"/>
                    </a:rPr>
                    <m:t>𝒎</m:t>
                  </m:r>
                  <m:r>
                    <a:rPr lang="en-US" sz="1400" b="1" i="1">
                      <a:latin typeface="Cambria Math" panose="02040503050406030204" pitchFamily="18" charset="0"/>
                    </a:rPr>
                    <m:t>]</m:t>
                  </m:r>
                </m:oMath>
              </a14:m>
              <a:endParaRPr lang="ru-RU" sz="1400" b="1"/>
            </a:p>
          </xdr:txBody>
        </xdr:sp>
      </mc:Choice>
      <mc:Fallback>
        <xdr:sp macro="" textlink="">
          <xdr:nvSpPr>
            <xdr:cNvPr id="7" name="TextBox 6"/>
            <xdr:cNvSpPr txBox="1"/>
          </xdr:nvSpPr>
          <xdr:spPr>
            <a:xfrm>
              <a:off x="11602411" y="9344183"/>
              <a:ext cx="434799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1" i="1">
                  <a:latin typeface="+mn-lt"/>
                </a:rPr>
                <a:t>L</a:t>
              </a:r>
              <a:r>
                <a:rPr lang="en-US" sz="1400" b="1" i="0">
                  <a:latin typeface="Cambria Math" panose="02040503050406030204" pitchFamily="18" charset="0"/>
                </a:rPr>
                <a:t>,[𝒎]</a:t>
              </a:r>
              <a:endParaRPr lang="ru-RU" sz="1400" b="1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352425</xdr:colOff>
      <xdr:row>17</xdr:row>
      <xdr:rowOff>23202</xdr:rowOff>
    </xdr:from>
    <xdr:to>
      <xdr:col>30</xdr:col>
      <xdr:colOff>581025</xdr:colOff>
      <xdr:row>42</xdr:row>
      <xdr:rowOff>42252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23</xdr:col>
      <xdr:colOff>352425</xdr:colOff>
      <xdr:row>17</xdr:row>
      <xdr:rowOff>38100</xdr:rowOff>
    </xdr:from>
    <xdr:ext cx="458908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/>
            <xdr:cNvSpPr txBox="1"/>
          </xdr:nvSpPr>
          <xdr:spPr>
            <a:xfrm>
              <a:off x="14373225" y="3276600"/>
              <a:ext cx="45890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𝑪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400" b="1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14373225" y="3276600"/>
              <a:ext cx="45890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400" b="1" i="0">
                  <a:latin typeface="Cambria Math" panose="02040503050406030204" pitchFamily="18" charset="0"/>
                </a:rPr>
                <a:t>𝑻,[𝑪]</a:t>
              </a:r>
              <a:endParaRPr lang="ru-RU" sz="1400" b="1"/>
            </a:p>
          </xdr:txBody>
        </xdr:sp>
      </mc:Fallback>
    </mc:AlternateContent>
    <xdr:clientData/>
  </xdr:oneCellAnchor>
  <xdr:oneCellAnchor>
    <xdr:from>
      <xdr:col>30</xdr:col>
      <xdr:colOff>114300</xdr:colOff>
      <xdr:row>41</xdr:row>
      <xdr:rowOff>9525</xdr:rowOff>
    </xdr:from>
    <xdr:ext cx="434799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18402300" y="7820025"/>
              <a:ext cx="434799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1" i="1">
                  <a:latin typeface="+mn-lt"/>
                </a:rPr>
                <a:t>L</a:t>
              </a:r>
              <a14:m>
                <m:oMath xmlns:m="http://schemas.openxmlformats.org/officeDocument/2006/math">
                  <m:r>
                    <a:rPr lang="en-US" sz="1400" b="1" i="1">
                      <a:latin typeface="Cambria Math" panose="02040503050406030204" pitchFamily="18" charset="0"/>
                    </a:rPr>
                    <m:t>,[</m:t>
                  </m:r>
                  <m:r>
                    <a:rPr lang="en-US" sz="1400" b="1" i="1">
                      <a:latin typeface="Cambria Math" panose="02040503050406030204" pitchFamily="18" charset="0"/>
                    </a:rPr>
                    <m:t>𝒎</m:t>
                  </m:r>
                  <m:r>
                    <a:rPr lang="en-US" sz="1400" b="1" i="1">
                      <a:latin typeface="Cambria Math" panose="02040503050406030204" pitchFamily="18" charset="0"/>
                    </a:rPr>
                    <m:t>]</m:t>
                  </m:r>
                </m:oMath>
              </a14:m>
              <a:endParaRPr lang="ru-RU" sz="1400" b="1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18402300" y="7820025"/>
              <a:ext cx="434799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1" i="1">
                  <a:latin typeface="+mn-lt"/>
                </a:rPr>
                <a:t>L</a:t>
              </a:r>
              <a:r>
                <a:rPr lang="en-US" sz="1400" b="1" i="0">
                  <a:latin typeface="Cambria Math" panose="02040503050406030204" pitchFamily="18" charset="0"/>
                </a:rPr>
                <a:t>,[𝒎]</a:t>
              </a:r>
              <a:endParaRPr lang="ru-RU" sz="1400" b="1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&#1050;&#1080;&#1088;&#1080;&#1083;&#1083;\Desktop\&#1052;&#1057;&#1057;\&#1052;&#1057;&#1057;%2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Аркуш1"/>
    </sheetNames>
    <sheetDataSet>
      <sheetData sheetId="0">
        <row r="12">
          <cell r="F12">
            <v>0</v>
          </cell>
          <cell r="G12">
            <v>3.3333333333333335E-3</v>
          </cell>
          <cell r="H12">
            <v>6.6666666666666671E-3</v>
          </cell>
          <cell r="I12">
            <v>0.01</v>
          </cell>
          <cell r="J12">
            <v>1.3333333333333334E-2</v>
          </cell>
          <cell r="K12">
            <v>1.6666666666666666E-2</v>
          </cell>
          <cell r="L12">
            <v>0.02</v>
          </cell>
          <cell r="M12">
            <v>2.3333333333333334E-2</v>
          </cell>
          <cell r="N12">
            <v>2.6666666666666668E-2</v>
          </cell>
          <cell r="O12">
            <v>3.0000000000000002E-2</v>
          </cell>
          <cell r="P12">
            <v>3.3333333333333333E-2</v>
          </cell>
          <cell r="Q12">
            <v>3.6666666666666667E-2</v>
          </cell>
          <cell r="R12">
            <v>0.04</v>
          </cell>
          <cell r="S12">
            <v>4.3333333333333335E-2</v>
          </cell>
          <cell r="T12">
            <v>4.6666666666666669E-2</v>
          </cell>
          <cell r="U12">
            <v>0.05</v>
          </cell>
          <cell r="V12">
            <v>5.3333333333333337E-2</v>
          </cell>
          <cell r="W12">
            <v>5.6666666666666671E-2</v>
          </cell>
          <cell r="X12">
            <v>6.0000000000000005E-2</v>
          </cell>
          <cell r="Y12">
            <v>6.3333333333333339E-2</v>
          </cell>
          <cell r="Z12">
            <v>6.6666666666666666E-2</v>
          </cell>
          <cell r="AA12">
            <v>6.9999999999999993E-2</v>
          </cell>
          <cell r="AB12">
            <v>7.333333333333332E-2</v>
          </cell>
          <cell r="AC12">
            <v>7.6666666666666647E-2</v>
          </cell>
          <cell r="AD12">
            <v>7.9999999999999974E-2</v>
          </cell>
          <cell r="AE12">
            <v>8.3333333333333301E-2</v>
          </cell>
          <cell r="AF12">
            <v>8.6666666666666628E-2</v>
          </cell>
          <cell r="AG12">
            <v>8.9999999999999955E-2</v>
          </cell>
          <cell r="AH12">
            <v>9.3333333333333282E-2</v>
          </cell>
          <cell r="AI12">
            <v>9.6666666666666609E-2</v>
          </cell>
          <cell r="AJ12">
            <v>9.9999999999999936E-2</v>
          </cell>
        </row>
        <row r="13">
          <cell r="F13">
            <v>300</v>
          </cell>
          <cell r="G13">
            <v>285.71206638589871</v>
          </cell>
          <cell r="H13">
            <v>271.42413277179742</v>
          </cell>
          <cell r="I13">
            <v>257.48006885674835</v>
          </cell>
          <cell r="J13">
            <v>243.53600494169928</v>
          </cell>
          <cell r="K13">
            <v>230.26276873395321</v>
          </cell>
          <cell r="L13">
            <v>216.9895325262072</v>
          </cell>
          <cell r="M13">
            <v>204.68133035133187</v>
          </cell>
          <cell r="N13">
            <v>192.37312817645659</v>
          </cell>
          <cell r="O13">
            <v>181.27761106476339</v>
          </cell>
          <cell r="P13">
            <v>170.18209395307025</v>
          </cell>
          <cell r="Q13">
            <v>160.48935715464984</v>
          </cell>
          <cell r="R13">
            <v>150.79662035622943</v>
          </cell>
          <cell r="S13">
            <v>142.63151302568099</v>
          </cell>
          <cell r="T13">
            <v>134.46640569513255</v>
          </cell>
          <cell r="U13">
            <v>127.88437303341553</v>
          </cell>
          <cell r="V13">
            <v>121.30234037169852</v>
          </cell>
          <cell r="W13">
            <v>116.28874839710809</v>
          </cell>
          <cell r="X13">
            <v>111.27515642251768</v>
          </cell>
          <cell r="Y13">
            <v>107.74782231468195</v>
          </cell>
          <cell r="Z13">
            <v>104.22048820684626</v>
          </cell>
          <cell r="AA13">
            <v>102.03497870718212</v>
          </cell>
          <cell r="AB13">
            <v>99.849469207517998</v>
          </cell>
          <cell r="AC13">
            <v>98.806644747791154</v>
          </cell>
          <cell r="AD13">
            <v>97.763820288064352</v>
          </cell>
          <cell r="AE13">
            <v>97.619089157527412</v>
          </cell>
          <cell r="AF13">
            <v>97.474358026990473</v>
          </cell>
          <cell r="AG13">
            <v>97.948147881780514</v>
          </cell>
          <cell r="AH13">
            <v>98.421937736570555</v>
          </cell>
          <cell r="AI13">
            <v>99.210968868285278</v>
          </cell>
          <cell r="AJ13">
            <v>100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3:AJ22"/>
  <sheetViews>
    <sheetView tabSelected="1" topLeftCell="E2" zoomScale="61" workbookViewId="0">
      <selection activeCell="U49" sqref="U49"/>
    </sheetView>
  </sheetViews>
  <sheetFormatPr defaultRowHeight="15" x14ac:dyDescent="0.25"/>
  <cols>
    <col min="6" max="6" width="12.85546875" bestFit="1" customWidth="1"/>
    <col min="19" max="27" width="15.140625" bestFit="1" customWidth="1"/>
    <col min="28" max="28" width="12.85546875" bestFit="1" customWidth="1"/>
    <col min="29" max="31" width="15.140625" bestFit="1" customWidth="1"/>
    <col min="32" max="32" width="12.85546875" bestFit="1" customWidth="1"/>
    <col min="33" max="34" width="15.140625" bestFit="1" customWidth="1"/>
  </cols>
  <sheetData>
    <row r="3" spans="2:36" x14ac:dyDescent="0.25">
      <c r="B3" s="1" t="s">
        <v>0</v>
      </c>
      <c r="C3" s="1">
        <v>0.1</v>
      </c>
    </row>
    <row r="4" spans="2:36" x14ac:dyDescent="0.25">
      <c r="B4" s="1" t="s">
        <v>1</v>
      </c>
      <c r="C4" s="2">
        <f>C3/30</f>
        <v>3.3333333333333335E-3</v>
      </c>
    </row>
    <row r="5" spans="2:36" x14ac:dyDescent="0.25">
      <c r="B5" s="1" t="s">
        <v>2</v>
      </c>
      <c r="C5" s="1">
        <f>(C8*C9*C4^2)/(2*C10)</f>
        <v>0.4333333333333334</v>
      </c>
    </row>
    <row r="6" spans="2:36" x14ac:dyDescent="0.25">
      <c r="B6" s="1" t="s">
        <v>3</v>
      </c>
      <c r="C6" s="1">
        <v>60</v>
      </c>
      <c r="D6">
        <v>60.233333333333341</v>
      </c>
    </row>
    <row r="7" spans="2:36" x14ac:dyDescent="0.25">
      <c r="B7" s="1"/>
      <c r="C7" s="1"/>
    </row>
    <row r="8" spans="2:36" x14ac:dyDescent="0.25">
      <c r="B8" s="1" t="s">
        <v>4</v>
      </c>
      <c r="C8" s="1">
        <v>460</v>
      </c>
    </row>
    <row r="9" spans="2:36" x14ac:dyDescent="0.25">
      <c r="B9" s="1" t="s">
        <v>5</v>
      </c>
      <c r="C9" s="1">
        <v>7800</v>
      </c>
    </row>
    <row r="10" spans="2:36" x14ac:dyDescent="0.25">
      <c r="B10" s="1" t="s">
        <v>6</v>
      </c>
      <c r="C10" s="1">
        <v>46</v>
      </c>
    </row>
    <row r="11" spans="2:36" x14ac:dyDescent="0.25">
      <c r="E11" s="1"/>
      <c r="F11" s="3">
        <v>1</v>
      </c>
      <c r="G11" s="3">
        <v>2</v>
      </c>
      <c r="H11" s="3">
        <v>3</v>
      </c>
      <c r="I11" s="3">
        <v>4</v>
      </c>
      <c r="J11" s="3">
        <v>5</v>
      </c>
      <c r="K11" s="3">
        <v>6</v>
      </c>
      <c r="L11" s="3">
        <v>7</v>
      </c>
      <c r="M11" s="3">
        <v>8</v>
      </c>
      <c r="N11" s="3">
        <v>9</v>
      </c>
      <c r="O11" s="3">
        <v>10</v>
      </c>
      <c r="P11" s="3">
        <v>11</v>
      </c>
      <c r="Q11" s="3">
        <v>12</v>
      </c>
      <c r="R11" s="3">
        <v>13</v>
      </c>
      <c r="S11" s="3">
        <v>14</v>
      </c>
      <c r="T11" s="3">
        <v>15</v>
      </c>
      <c r="U11" s="3">
        <v>16</v>
      </c>
      <c r="V11" s="3">
        <v>17</v>
      </c>
      <c r="W11" s="3">
        <v>18</v>
      </c>
      <c r="X11" s="3">
        <v>19</v>
      </c>
      <c r="Y11" s="3">
        <v>20</v>
      </c>
      <c r="Z11" s="3">
        <v>21</v>
      </c>
      <c r="AA11" s="3">
        <v>22</v>
      </c>
      <c r="AB11" s="3">
        <v>23</v>
      </c>
      <c r="AC11" s="3">
        <v>24</v>
      </c>
      <c r="AD11" s="3">
        <v>25</v>
      </c>
      <c r="AE11" s="3">
        <v>26</v>
      </c>
      <c r="AF11" s="3">
        <v>27</v>
      </c>
      <c r="AG11" s="3">
        <v>28</v>
      </c>
      <c r="AH11" s="3">
        <v>29</v>
      </c>
      <c r="AI11" s="3">
        <v>30</v>
      </c>
      <c r="AJ11" s="3">
        <v>31</v>
      </c>
    </row>
    <row r="12" spans="2:36" x14ac:dyDescent="0.25">
      <c r="B12" s="1" t="s">
        <v>8</v>
      </c>
      <c r="C12" s="1">
        <v>300</v>
      </c>
      <c r="E12" s="1" t="s">
        <v>0</v>
      </c>
      <c r="F12" s="4">
        <v>0</v>
      </c>
      <c r="G12" s="4">
        <f>F12+$C$4</f>
        <v>3.3333333333333335E-3</v>
      </c>
      <c r="H12" s="4">
        <f t="shared" ref="H12:AJ12" si="0">G12+$C$4</f>
        <v>6.6666666666666671E-3</v>
      </c>
      <c r="I12" s="4">
        <f t="shared" si="0"/>
        <v>0.01</v>
      </c>
      <c r="J12" s="4">
        <f t="shared" si="0"/>
        <v>1.3333333333333334E-2</v>
      </c>
      <c r="K12" s="4">
        <f t="shared" si="0"/>
        <v>1.6666666666666666E-2</v>
      </c>
      <c r="L12" s="4">
        <f t="shared" si="0"/>
        <v>0.02</v>
      </c>
      <c r="M12" s="4">
        <f t="shared" si="0"/>
        <v>2.3333333333333334E-2</v>
      </c>
      <c r="N12" s="4">
        <f t="shared" si="0"/>
        <v>2.6666666666666668E-2</v>
      </c>
      <c r="O12" s="4">
        <f t="shared" si="0"/>
        <v>3.0000000000000002E-2</v>
      </c>
      <c r="P12" s="4">
        <f t="shared" si="0"/>
        <v>3.3333333333333333E-2</v>
      </c>
      <c r="Q12" s="4">
        <f t="shared" si="0"/>
        <v>3.6666666666666667E-2</v>
      </c>
      <c r="R12" s="4">
        <f t="shared" si="0"/>
        <v>0.04</v>
      </c>
      <c r="S12" s="4">
        <f t="shared" si="0"/>
        <v>4.3333333333333335E-2</v>
      </c>
      <c r="T12" s="4">
        <f t="shared" si="0"/>
        <v>4.6666666666666669E-2</v>
      </c>
      <c r="U12" s="4">
        <f t="shared" si="0"/>
        <v>0.05</v>
      </c>
      <c r="V12" s="4">
        <f t="shared" si="0"/>
        <v>5.3333333333333337E-2</v>
      </c>
      <c r="W12" s="4">
        <f t="shared" si="0"/>
        <v>5.6666666666666671E-2</v>
      </c>
      <c r="X12" s="4">
        <f t="shared" si="0"/>
        <v>6.0000000000000005E-2</v>
      </c>
      <c r="Y12" s="4">
        <f t="shared" si="0"/>
        <v>6.3333333333333339E-2</v>
      </c>
      <c r="Z12" s="4">
        <f t="shared" si="0"/>
        <v>6.6666666666666666E-2</v>
      </c>
      <c r="AA12" s="4">
        <f t="shared" si="0"/>
        <v>6.9999999999999993E-2</v>
      </c>
      <c r="AB12" s="4">
        <f t="shared" si="0"/>
        <v>7.333333333333332E-2</v>
      </c>
      <c r="AC12" s="4">
        <f t="shared" si="0"/>
        <v>7.6666666666666647E-2</v>
      </c>
      <c r="AD12" s="4">
        <f t="shared" si="0"/>
        <v>7.9999999999999974E-2</v>
      </c>
      <c r="AE12" s="4">
        <f t="shared" si="0"/>
        <v>8.3333333333333301E-2</v>
      </c>
      <c r="AF12" s="4">
        <f t="shared" si="0"/>
        <v>8.6666666666666628E-2</v>
      </c>
      <c r="AG12" s="4">
        <f t="shared" si="0"/>
        <v>8.9999999999999955E-2</v>
      </c>
      <c r="AH12" s="4">
        <f t="shared" si="0"/>
        <v>9.3333333333333282E-2</v>
      </c>
      <c r="AI12" s="4">
        <f t="shared" si="0"/>
        <v>9.6666666666666609E-2</v>
      </c>
      <c r="AJ12" s="4">
        <f t="shared" si="0"/>
        <v>9.9999999999999936E-2</v>
      </c>
    </row>
    <row r="13" spans="2:36" x14ac:dyDescent="0.25">
      <c r="B13" s="1" t="s">
        <v>9</v>
      </c>
      <c r="C13" s="1">
        <v>100</v>
      </c>
      <c r="E13" s="1" t="s">
        <v>7</v>
      </c>
      <c r="F13" s="1">
        <v>300</v>
      </c>
      <c r="G13" s="1">
        <v>280.20114262798575</v>
      </c>
      <c r="H13" s="1">
        <v>260.57053452366904</v>
      </c>
      <c r="I13" s="1">
        <v>241.27335396752636</v>
      </c>
      <c r="J13" s="1">
        <v>222.46874067679317</v>
      </c>
      <c r="K13" s="1">
        <v>204.30702925674697</v>
      </c>
      <c r="L13" s="1">
        <v>186.92727013670742</v>
      </c>
      <c r="M13" s="1">
        <v>170.45510875086381</v>
      </c>
      <c r="N13" s="1">
        <v>155.00107463428773</v>
      </c>
      <c r="O13" s="1">
        <v>140.65931099015722</v>
      </c>
      <c r="P13" s="1">
        <v>127.5067536180474</v>
      </c>
      <c r="Q13" s="1">
        <v>115.60274732960713</v>
      </c>
      <c r="R13" s="1">
        <v>104.98906943559072</v>
      </c>
      <c r="S13" s="1">
        <v>95.690314648076594</v>
      </c>
      <c r="T13" s="1">
        <v>87.714584570723446</v>
      </c>
      <c r="U13" s="1">
        <v>81.054418255410752</v>
      </c>
      <c r="V13" s="1">
        <v>75.68789812172092</v>
      </c>
      <c r="W13" s="1">
        <v>71.579867553261167</v>
      </c>
      <c r="X13" s="1">
        <v>68.68320209085141</v>
      </c>
      <c r="Y13" s="1">
        <v>66.940084503407604</v>
      </c>
      <c r="Z13" s="1">
        <v>66.283244166503039</v>
      </c>
      <c r="AA13" s="1">
        <v>66.637132112902975</v>
      </c>
      <c r="AB13" s="1">
        <v>67.919013891339318</v>
      </c>
      <c r="AC13" s="1">
        <v>70.039972168091296</v>
      </c>
      <c r="AD13" s="1">
        <v>72.905819217013814</v>
      </c>
      <c r="AE13" s="1">
        <v>76.417925689672472</v>
      </c>
      <c r="AF13" s="1">
        <v>80.473976208137344</v>
      </c>
      <c r="AG13" s="1">
        <v>84.968664482862408</v>
      </c>
      <c r="AH13" s="1">
        <v>89.794341128753075</v>
      </c>
      <c r="AI13" s="1">
        <v>94.841626578966242</v>
      </c>
      <c r="AJ13" s="1">
        <v>100</v>
      </c>
    </row>
    <row r="15" spans="2:36" x14ac:dyDescent="0.25">
      <c r="B15" t="s">
        <v>12</v>
      </c>
      <c r="C15">
        <f>C10/(C4^2)</f>
        <v>4139999.9999999991</v>
      </c>
    </row>
    <row r="16" spans="2:36" x14ac:dyDescent="0.25">
      <c r="B16" t="s">
        <v>13</v>
      </c>
      <c r="C16">
        <f>2*C10/(C4^2)+C9*C8/C5</f>
        <v>16559999.999999996</v>
      </c>
      <c r="E16" t="s">
        <v>10</v>
      </c>
      <c r="G16">
        <f t="shared" ref="G16:AH16" si="1">G20*H16+G21</f>
        <v>280.28451209215399</v>
      </c>
      <c r="H16">
        <f t="shared" si="1"/>
        <v>260.73576311264441</v>
      </c>
      <c r="I16">
        <f t="shared" si="1"/>
        <v>241.51747131108542</v>
      </c>
      <c r="J16">
        <f t="shared" si="1"/>
        <v>222.78741419664442</v>
      </c>
      <c r="K16">
        <f t="shared" si="1"/>
        <v>204.69470412190589</v>
      </c>
      <c r="L16">
        <f t="shared" si="1"/>
        <v>187.37734377748521</v>
      </c>
      <c r="M16">
        <f t="shared" si="1"/>
        <v>170.96013071462008</v>
      </c>
      <c r="N16">
        <f t="shared" si="1"/>
        <v>155.55296157926747</v>
      </c>
      <c r="O16">
        <f t="shared" si="1"/>
        <v>141.24956633387433</v>
      </c>
      <c r="P16">
        <f t="shared" si="1"/>
        <v>128.12668177591533</v>
      </c>
      <c r="Q16">
        <f t="shared" si="1"/>
        <v>116.24365353369214</v>
      </c>
      <c r="R16">
        <f t="shared" si="1"/>
        <v>105.64243769963892</v>
      </c>
      <c r="S16">
        <f t="shared" si="1"/>
        <v>96.347958393682063</v>
      </c>
      <c r="T16">
        <f t="shared" si="1"/>
        <v>88.368766578936132</v>
      </c>
      <c r="U16">
        <f t="shared" si="1"/>
        <v>81.697938780615559</v>
      </c>
      <c r="V16">
        <f t="shared" si="1"/>
        <v>76.314152032704555</v>
      </c>
      <c r="W16">
        <f t="shared" si="1"/>
        <v>72.182873106760752</v>
      </c>
      <c r="X16">
        <f t="shared" si="1"/>
        <v>69.257605287816148</v>
      </c>
      <c r="Y16">
        <f t="shared" si="1"/>
        <v>67.481143862800991</v>
      </c>
      <c r="Z16">
        <f t="shared" si="1"/>
        <v>66.786801156572579</v>
      </c>
      <c r="AA16">
        <f t="shared" si="1"/>
        <v>67.099572430483207</v>
      </c>
      <c r="AB16">
        <f t="shared" si="1"/>
        <v>68.337224339554268</v>
      </c>
      <c r="AC16">
        <f t="shared" si="1"/>
        <v>70.411297145055215</v>
      </c>
      <c r="AD16">
        <f t="shared" si="1"/>
        <v>73.228019904484</v>
      </c>
      <c r="AE16">
        <f t="shared" si="1"/>
        <v>76.689144038853158</v>
      </c>
      <c r="AF16">
        <f t="shared" si="1"/>
        <v>80.692704871583686</v>
      </c>
      <c r="AG16">
        <f t="shared" si="1"/>
        <v>85.13372303120687</v>
      </c>
      <c r="AH16">
        <f t="shared" si="1"/>
        <v>89.904858287518977</v>
      </c>
      <c r="AI16">
        <f>AI20*AJ16+AI21</f>
        <v>94.897027861362858</v>
      </c>
      <c r="AJ16">
        <f>AJ13</f>
        <v>100</v>
      </c>
    </row>
    <row r="17" spans="2:35" x14ac:dyDescent="0.25">
      <c r="B17" t="s">
        <v>14</v>
      </c>
      <c r="C17">
        <f>C15</f>
        <v>4139999.9999999991</v>
      </c>
    </row>
    <row r="18" spans="2:35" x14ac:dyDescent="0.25">
      <c r="E18" t="s">
        <v>11</v>
      </c>
    </row>
    <row r="20" spans="2:35" x14ac:dyDescent="0.25">
      <c r="E20" t="s">
        <v>15</v>
      </c>
      <c r="F20">
        <v>0</v>
      </c>
      <c r="G20">
        <f>$C$15/($C$16-$C$17*F20)</f>
        <v>0.25</v>
      </c>
      <c r="H20">
        <f t="shared" ref="H20:AI20" si="2">$C$15/($C$16-$C$17*G20)</f>
        <v>0.26666666666666666</v>
      </c>
      <c r="I20">
        <f t="shared" si="2"/>
        <v>0.26785714285714285</v>
      </c>
      <c r="J20">
        <f t="shared" si="2"/>
        <v>0.26794258373205743</v>
      </c>
      <c r="K20">
        <f t="shared" si="2"/>
        <v>0.26794871794871794</v>
      </c>
      <c r="L20">
        <f t="shared" si="2"/>
        <v>0.26794915836482308</v>
      </c>
      <c r="M20">
        <f t="shared" si="2"/>
        <v>0.26794918998527245</v>
      </c>
      <c r="N20">
        <f t="shared" si="2"/>
        <v>0.26794919225551855</v>
      </c>
      <c r="O20">
        <f t="shared" si="2"/>
        <v>0.26794919241851489</v>
      </c>
      <c r="P20">
        <f t="shared" si="2"/>
        <v>0.26794919243021753</v>
      </c>
      <c r="Q20">
        <f t="shared" si="2"/>
        <v>0.26794919243105775</v>
      </c>
      <c r="R20">
        <f t="shared" si="2"/>
        <v>0.26794919243111803</v>
      </c>
      <c r="S20">
        <f t="shared" si="2"/>
        <v>0.26794919243112236</v>
      </c>
      <c r="T20">
        <f t="shared" si="2"/>
        <v>0.2679491924311227</v>
      </c>
      <c r="U20">
        <f t="shared" si="2"/>
        <v>0.2679491924311227</v>
      </c>
      <c r="V20">
        <f t="shared" si="2"/>
        <v>0.2679491924311227</v>
      </c>
      <c r="W20">
        <f t="shared" si="2"/>
        <v>0.2679491924311227</v>
      </c>
      <c r="X20">
        <f t="shared" si="2"/>
        <v>0.2679491924311227</v>
      </c>
      <c r="Y20">
        <f t="shared" si="2"/>
        <v>0.2679491924311227</v>
      </c>
      <c r="Z20">
        <f t="shared" si="2"/>
        <v>0.2679491924311227</v>
      </c>
      <c r="AA20">
        <f t="shared" si="2"/>
        <v>0.2679491924311227</v>
      </c>
      <c r="AB20">
        <f t="shared" si="2"/>
        <v>0.2679491924311227</v>
      </c>
      <c r="AC20">
        <f t="shared" si="2"/>
        <v>0.2679491924311227</v>
      </c>
      <c r="AD20">
        <f t="shared" si="2"/>
        <v>0.2679491924311227</v>
      </c>
      <c r="AE20">
        <f t="shared" si="2"/>
        <v>0.2679491924311227</v>
      </c>
      <c r="AF20">
        <f t="shared" si="2"/>
        <v>0.2679491924311227</v>
      </c>
      <c r="AG20">
        <f t="shared" si="2"/>
        <v>0.2679491924311227</v>
      </c>
      <c r="AH20">
        <f t="shared" si="2"/>
        <v>0.2679491924311227</v>
      </c>
      <c r="AI20">
        <f t="shared" si="2"/>
        <v>0.2679491924311227</v>
      </c>
    </row>
    <row r="21" spans="2:35" x14ac:dyDescent="0.25">
      <c r="E21" t="s">
        <v>16</v>
      </c>
      <c r="F21">
        <v>300</v>
      </c>
      <c r="G21">
        <f>(F21*$C$17-G22)/($C$16-$C$17*F20)</f>
        <v>215.1005713139929</v>
      </c>
      <c r="H21">
        <f t="shared" ref="H21:AI21" si="3">(G21*$C$17-H22)/($C$16-$C$17*G20)</f>
        <v>196.33110409635498</v>
      </c>
      <c r="I21">
        <f t="shared" si="3"/>
        <v>181.84227107984137</v>
      </c>
      <c r="J21">
        <f t="shared" si="3"/>
        <v>167.94098629795192</v>
      </c>
      <c r="K21">
        <f t="shared" si="3"/>
        <v>154.48718508409254</v>
      </c>
      <c r="L21">
        <f t="shared" si="3"/>
        <v>141.56872063856261</v>
      </c>
      <c r="M21">
        <f t="shared" si="3"/>
        <v>129.27984065964515</v>
      </c>
      <c r="N21">
        <f t="shared" si="3"/>
        <v>117.70525437366356</v>
      </c>
      <c r="O21">
        <f t="shared" si="3"/>
        <v>106.91812542475377</v>
      </c>
      <c r="P21">
        <f t="shared" si="3"/>
        <v>96.979288686424511</v>
      </c>
      <c r="Q21">
        <f t="shared" si="3"/>
        <v>87.936847665625564</v>
      </c>
      <c r="R21">
        <f t="shared" si="3"/>
        <v>79.826080055664846</v>
      </c>
      <c r="S21">
        <f t="shared" si="3"/>
        <v>72.669618752721775</v>
      </c>
      <c r="T21">
        <f t="shared" si="3"/>
        <v>66.477869859382892</v>
      </c>
      <c r="U21">
        <f t="shared" si="3"/>
        <v>61.249623372386452</v>
      </c>
      <c r="V21">
        <f t="shared" si="3"/>
        <v>56.972809476389799</v>
      </c>
      <c r="W21">
        <f t="shared" si="3"/>
        <v>53.625353700176966</v>
      </c>
      <c r="X21">
        <f t="shared" si="3"/>
        <v>51.176087285450215</v>
      </c>
      <c r="Y21">
        <f t="shared" si="3"/>
        <v>49.585674427839393</v>
      </c>
      <c r="Z21">
        <f t="shared" si="3"/>
        <v>48.807524911350974</v>
      </c>
      <c r="AA21">
        <f t="shared" si="3"/>
        <v>48.788668355715174</v>
      </c>
      <c r="AB21">
        <f t="shared" si="3"/>
        <v>49.470574131508911</v>
      </c>
      <c r="AC21">
        <f t="shared" si="3"/>
        <v>50.789908348318555</v>
      </c>
      <c r="AD21">
        <f t="shared" si="3"/>
        <v>52.679225691039257</v>
      </c>
      <c r="AE21">
        <f t="shared" si="3"/>
        <v>55.067598933429394</v>
      </c>
      <c r="AF21">
        <f t="shared" si="3"/>
        <v>57.881192536716931</v>
      </c>
      <c r="AG21">
        <f t="shared" si="3"/>
        <v>61.043788857431636</v>
      </c>
      <c r="AH21">
        <f t="shared" si="3"/>
        <v>64.477276307953048</v>
      </c>
      <c r="AI21">
        <f t="shared" si="3"/>
        <v>68.102108618250597</v>
      </c>
    </row>
    <row r="22" spans="2:35" x14ac:dyDescent="0.25">
      <c r="E22" t="s">
        <v>17</v>
      </c>
      <c r="F22">
        <f>-(($C$9*$C$8)/$C$5)*F13</f>
        <v>-2483999999.9999995</v>
      </c>
      <c r="G22">
        <f t="shared" ref="G22:AI22" si="4">-(($C$9*$C$8)/$C$5)*G13</f>
        <v>-2320065460.9597216</v>
      </c>
      <c r="H22">
        <f t="shared" si="4"/>
        <v>-2157524025.8559794</v>
      </c>
      <c r="I22">
        <f t="shared" si="4"/>
        <v>-1997743370.8511181</v>
      </c>
      <c r="J22">
        <f t="shared" si="4"/>
        <v>-1842041172.8038473</v>
      </c>
      <c r="K22">
        <f t="shared" si="4"/>
        <v>-1691662202.2458646</v>
      </c>
      <c r="L22">
        <f t="shared" si="4"/>
        <v>-1547757796.7319372</v>
      </c>
      <c r="M22">
        <f t="shared" si="4"/>
        <v>-1411368300.4571521</v>
      </c>
      <c r="N22">
        <f t="shared" si="4"/>
        <v>-1283408897.9719024</v>
      </c>
      <c r="O22">
        <f t="shared" si="4"/>
        <v>-1164659094.9985018</v>
      </c>
      <c r="P22">
        <f t="shared" si="4"/>
        <v>-1055755919.9574324</v>
      </c>
      <c r="Q22">
        <f t="shared" si="4"/>
        <v>-957190747.88914692</v>
      </c>
      <c r="R22">
        <f t="shared" si="4"/>
        <v>-869309494.92669106</v>
      </c>
      <c r="S22">
        <f t="shared" si="4"/>
        <v>-792315805.28607416</v>
      </c>
      <c r="T22">
        <f t="shared" si="4"/>
        <v>-726276760.24559009</v>
      </c>
      <c r="U22">
        <f t="shared" si="4"/>
        <v>-671130583.15480101</v>
      </c>
      <c r="V22">
        <f t="shared" si="4"/>
        <v>-626695796.44784915</v>
      </c>
      <c r="W22">
        <f t="shared" si="4"/>
        <v>-592681303.34100235</v>
      </c>
      <c r="X22">
        <f t="shared" si="4"/>
        <v>-568696913.31224966</v>
      </c>
      <c r="Y22">
        <f t="shared" si="4"/>
        <v>-554263899.6882149</v>
      </c>
      <c r="Z22">
        <f t="shared" si="4"/>
        <v>-548825261.69864511</v>
      </c>
      <c r="AA22">
        <f t="shared" si="4"/>
        <v>-551755453.89483654</v>
      </c>
      <c r="AB22">
        <f t="shared" si="4"/>
        <v>-562369435.02028954</v>
      </c>
      <c r="AC22">
        <f t="shared" si="4"/>
        <v>-579930969.55179584</v>
      </c>
      <c r="AD22">
        <f t="shared" si="4"/>
        <v>-603660183.11687434</v>
      </c>
      <c r="AE22">
        <f t="shared" si="4"/>
        <v>-632740424.71048796</v>
      </c>
      <c r="AF22">
        <f t="shared" si="4"/>
        <v>-666324523.00337708</v>
      </c>
      <c r="AG22">
        <f t="shared" si="4"/>
        <v>-703540541.91810071</v>
      </c>
      <c r="AH22">
        <f t="shared" si="4"/>
        <v>-743497144.54607534</v>
      </c>
      <c r="AI22">
        <f t="shared" si="4"/>
        <v>-785288668.07384038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AJ16"/>
  <sheetViews>
    <sheetView zoomScale="49" workbookViewId="0">
      <selection activeCell="H19" sqref="H19"/>
    </sheetView>
  </sheetViews>
  <sheetFormatPr defaultRowHeight="15" x14ac:dyDescent="0.25"/>
  <sheetData>
    <row r="3" spans="2:36" x14ac:dyDescent="0.25">
      <c r="B3" s="1" t="s">
        <v>0</v>
      </c>
      <c r="C3" s="1">
        <v>0.1</v>
      </c>
    </row>
    <row r="4" spans="2:36" x14ac:dyDescent="0.25">
      <c r="B4" s="1" t="s">
        <v>1</v>
      </c>
      <c r="C4" s="2">
        <f>C3/30</f>
        <v>3.3333333333333335E-3</v>
      </c>
    </row>
    <row r="5" spans="2:36" x14ac:dyDescent="0.25">
      <c r="B5" s="1" t="s">
        <v>2</v>
      </c>
      <c r="C5" s="1">
        <f>(C8*C9*C4^2)/(2*C10)</f>
        <v>0.4333333333333334</v>
      </c>
    </row>
    <row r="6" spans="2:36" x14ac:dyDescent="0.25">
      <c r="B6" s="1" t="s">
        <v>3</v>
      </c>
      <c r="C6" s="1">
        <v>60</v>
      </c>
      <c r="D6">
        <v>60.233333333333341</v>
      </c>
    </row>
    <row r="7" spans="2:36" x14ac:dyDescent="0.25">
      <c r="B7" s="1"/>
      <c r="C7" s="1"/>
    </row>
    <row r="8" spans="2:36" x14ac:dyDescent="0.25">
      <c r="B8" s="1" t="s">
        <v>4</v>
      </c>
      <c r="C8" s="1">
        <v>460</v>
      </c>
    </row>
    <row r="9" spans="2:36" x14ac:dyDescent="0.25">
      <c r="B9" s="1" t="s">
        <v>5</v>
      </c>
      <c r="C9" s="1">
        <v>7800</v>
      </c>
    </row>
    <row r="10" spans="2:36" x14ac:dyDescent="0.25">
      <c r="B10" s="1" t="s">
        <v>6</v>
      </c>
      <c r="C10" s="1">
        <v>46</v>
      </c>
    </row>
    <row r="11" spans="2:36" x14ac:dyDescent="0.25">
      <c r="E11" s="1"/>
      <c r="F11" s="3">
        <v>1</v>
      </c>
      <c r="G11" s="3">
        <v>2</v>
      </c>
      <c r="H11" s="3">
        <v>3</v>
      </c>
      <c r="I11" s="3">
        <v>4</v>
      </c>
      <c r="J11" s="3">
        <v>5</v>
      </c>
      <c r="K11" s="3">
        <v>6</v>
      </c>
      <c r="L11" s="3">
        <v>7</v>
      </c>
      <c r="M11" s="3">
        <v>8</v>
      </c>
      <c r="N11" s="3">
        <v>9</v>
      </c>
      <c r="O11" s="3">
        <v>10</v>
      </c>
      <c r="P11" s="3">
        <v>11</v>
      </c>
      <c r="Q11" s="3">
        <v>12</v>
      </c>
      <c r="R11" s="3">
        <v>13</v>
      </c>
      <c r="S11" s="3">
        <v>14</v>
      </c>
      <c r="T11" s="3">
        <v>15</v>
      </c>
      <c r="U11" s="3">
        <v>16</v>
      </c>
      <c r="V11" s="3">
        <v>17</v>
      </c>
      <c r="W11" s="3">
        <v>18</v>
      </c>
      <c r="X11" s="3">
        <v>19</v>
      </c>
      <c r="Y11" s="3">
        <v>20</v>
      </c>
      <c r="Z11" s="3">
        <v>21</v>
      </c>
      <c r="AA11" s="3">
        <v>22</v>
      </c>
      <c r="AB11" s="3">
        <v>23</v>
      </c>
      <c r="AC11" s="3">
        <v>24</v>
      </c>
      <c r="AD11" s="3">
        <v>25</v>
      </c>
      <c r="AE11" s="3">
        <v>26</v>
      </c>
      <c r="AF11" s="3">
        <v>27</v>
      </c>
      <c r="AG11" s="3">
        <v>28</v>
      </c>
      <c r="AH11" s="3">
        <v>29</v>
      </c>
      <c r="AI11" s="3">
        <v>30</v>
      </c>
      <c r="AJ11" s="3">
        <v>31</v>
      </c>
    </row>
    <row r="12" spans="2:36" x14ac:dyDescent="0.25">
      <c r="B12" s="1" t="s">
        <v>8</v>
      </c>
      <c r="C12" s="1">
        <v>300</v>
      </c>
      <c r="E12" s="1" t="s">
        <v>0</v>
      </c>
      <c r="F12" s="4">
        <v>0</v>
      </c>
      <c r="G12" s="4">
        <f>F12+$C$4</f>
        <v>3.3333333333333335E-3</v>
      </c>
      <c r="H12" s="4">
        <f t="shared" ref="H12:AJ12" si="0">G12+$C$4</f>
        <v>6.6666666666666671E-3</v>
      </c>
      <c r="I12" s="4">
        <f t="shared" si="0"/>
        <v>0.01</v>
      </c>
      <c r="J12" s="4">
        <f t="shared" si="0"/>
        <v>1.3333333333333334E-2</v>
      </c>
      <c r="K12" s="4">
        <f t="shared" si="0"/>
        <v>1.6666666666666666E-2</v>
      </c>
      <c r="L12" s="4">
        <f t="shared" si="0"/>
        <v>0.02</v>
      </c>
      <c r="M12" s="4">
        <f t="shared" si="0"/>
        <v>2.3333333333333334E-2</v>
      </c>
      <c r="N12" s="4">
        <f t="shared" si="0"/>
        <v>2.6666666666666668E-2</v>
      </c>
      <c r="O12" s="4">
        <f t="shared" si="0"/>
        <v>3.0000000000000002E-2</v>
      </c>
      <c r="P12" s="4">
        <f t="shared" si="0"/>
        <v>3.3333333333333333E-2</v>
      </c>
      <c r="Q12" s="4">
        <f t="shared" si="0"/>
        <v>3.6666666666666667E-2</v>
      </c>
      <c r="R12" s="4">
        <f t="shared" si="0"/>
        <v>0.04</v>
      </c>
      <c r="S12" s="4">
        <f t="shared" si="0"/>
        <v>4.3333333333333335E-2</v>
      </c>
      <c r="T12" s="4">
        <f t="shared" si="0"/>
        <v>4.6666666666666669E-2</v>
      </c>
      <c r="U12" s="4">
        <f t="shared" si="0"/>
        <v>0.05</v>
      </c>
      <c r="V12" s="4">
        <f t="shared" si="0"/>
        <v>5.3333333333333337E-2</v>
      </c>
      <c r="W12" s="4">
        <f t="shared" si="0"/>
        <v>5.6666666666666671E-2</v>
      </c>
      <c r="X12" s="4">
        <f t="shared" si="0"/>
        <v>6.0000000000000005E-2</v>
      </c>
      <c r="Y12" s="4">
        <f t="shared" si="0"/>
        <v>6.3333333333333339E-2</v>
      </c>
      <c r="Z12" s="4">
        <f t="shared" si="0"/>
        <v>6.6666666666666666E-2</v>
      </c>
      <c r="AA12" s="4">
        <f t="shared" si="0"/>
        <v>6.9999999999999993E-2</v>
      </c>
      <c r="AB12" s="4">
        <f t="shared" si="0"/>
        <v>7.333333333333332E-2</v>
      </c>
      <c r="AC12" s="4">
        <f t="shared" si="0"/>
        <v>7.6666666666666647E-2</v>
      </c>
      <c r="AD12" s="4">
        <f t="shared" si="0"/>
        <v>7.9999999999999974E-2</v>
      </c>
      <c r="AE12" s="4">
        <f t="shared" si="0"/>
        <v>8.3333333333333301E-2</v>
      </c>
      <c r="AF12" s="4">
        <f t="shared" si="0"/>
        <v>8.6666666666666628E-2</v>
      </c>
      <c r="AG12" s="4">
        <f t="shared" si="0"/>
        <v>8.9999999999999955E-2</v>
      </c>
      <c r="AH12" s="4">
        <f t="shared" si="0"/>
        <v>9.3333333333333282E-2</v>
      </c>
      <c r="AI12" s="4">
        <f t="shared" si="0"/>
        <v>9.6666666666666609E-2</v>
      </c>
      <c r="AJ12" s="4">
        <f t="shared" si="0"/>
        <v>9.9999999999999936E-2</v>
      </c>
    </row>
    <row r="13" spans="2:36" x14ac:dyDescent="0.25">
      <c r="B13" s="1" t="s">
        <v>9</v>
      </c>
      <c r="C13" s="1">
        <v>100</v>
      </c>
      <c r="E13" s="1" t="s">
        <v>7</v>
      </c>
      <c r="F13" s="1">
        <v>300</v>
      </c>
      <c r="G13" s="1">
        <v>280.34602914679897</v>
      </c>
      <c r="H13" s="1">
        <v>260.69205829359794</v>
      </c>
      <c r="I13" s="1">
        <v>241.69187227593491</v>
      </c>
      <c r="J13" s="1">
        <v>222.69168625827183</v>
      </c>
      <c r="K13" s="1">
        <v>204.95390631913148</v>
      </c>
      <c r="L13" s="1">
        <v>187.21612637999107</v>
      </c>
      <c r="M13" s="1">
        <v>171.26453784334268</v>
      </c>
      <c r="N13" s="1">
        <v>155.31294930669429</v>
      </c>
      <c r="O13" s="1">
        <v>141.55671337374599</v>
      </c>
      <c r="P13" s="1">
        <v>127.80047744079765</v>
      </c>
      <c r="Q13" s="1">
        <v>116.51671674932982</v>
      </c>
      <c r="R13" s="1">
        <v>105.23295605786197</v>
      </c>
      <c r="S13" s="1">
        <v>96.561989352755049</v>
      </c>
      <c r="T13" s="1">
        <v>87.891022647648128</v>
      </c>
      <c r="U13" s="1">
        <v>81.842538774051832</v>
      </c>
      <c r="V13" s="1">
        <v>75.794054900455549</v>
      </c>
      <c r="W13" s="1">
        <v>72.261187114604226</v>
      </c>
      <c r="X13" s="1">
        <v>68.728319328752917</v>
      </c>
      <c r="Y13" s="1">
        <v>67.506108522455037</v>
      </c>
      <c r="Z13" s="1">
        <v>66.283897716157142</v>
      </c>
      <c r="AA13" s="1">
        <v>67.088962026000345</v>
      </c>
      <c r="AB13" s="1">
        <v>67.894026335843549</v>
      </c>
      <c r="AC13" s="1">
        <v>70.383127200086093</v>
      </c>
      <c r="AD13" s="1">
        <v>72.872228064328638</v>
      </c>
      <c r="AE13" s="1">
        <v>76.658491877071754</v>
      </c>
      <c r="AF13" s="1">
        <v>80.444755689814855</v>
      </c>
      <c r="AG13" s="1">
        <v>85.111263870845988</v>
      </c>
      <c r="AH13" s="1">
        <v>89.777772051877108</v>
      </c>
      <c r="AI13" s="1">
        <v>94.888886025938547</v>
      </c>
      <c r="AJ13" s="1">
        <v>100</v>
      </c>
    </row>
    <row r="16" spans="2:36" x14ac:dyDescent="0.25">
      <c r="E16" t="s">
        <v>10</v>
      </c>
      <c r="G16">
        <f>G13+(($C$10*$C$5)/($C$9*$C$8))*((H13-2*G13+F13)/($C$4^2))</f>
        <v>280.34602914679897</v>
      </c>
      <c r="H16">
        <f t="shared" ref="H16:AI16" si="1">H13+(($C$10*$C$5)/($C$9*$C$8))*((I13-2*H13+G13)/($C$4^2))</f>
        <v>261.01895071136693</v>
      </c>
      <c r="I16">
        <f t="shared" si="1"/>
        <v>241.69187227593488</v>
      </c>
      <c r="J16">
        <f t="shared" si="1"/>
        <v>223.32288929753321</v>
      </c>
      <c r="K16">
        <f t="shared" si="1"/>
        <v>204.95390631913145</v>
      </c>
      <c r="L16">
        <f t="shared" si="1"/>
        <v>188.10922208123708</v>
      </c>
      <c r="M16">
        <f t="shared" si="1"/>
        <v>171.26453784334268</v>
      </c>
      <c r="N16">
        <f t="shared" si="1"/>
        <v>156.41062560854434</v>
      </c>
      <c r="O16">
        <f t="shared" si="1"/>
        <v>141.55671337374596</v>
      </c>
      <c r="P16">
        <f t="shared" si="1"/>
        <v>129.0367150615379</v>
      </c>
      <c r="Q16">
        <f t="shared" si="1"/>
        <v>116.51671674932982</v>
      </c>
      <c r="R16">
        <f t="shared" si="1"/>
        <v>106.53935305104244</v>
      </c>
      <c r="S16">
        <f t="shared" si="1"/>
        <v>96.561989352755049</v>
      </c>
      <c r="T16">
        <f t="shared" si="1"/>
        <v>89.202264063403447</v>
      </c>
      <c r="U16">
        <f t="shared" si="1"/>
        <v>81.842538774051832</v>
      </c>
      <c r="V16">
        <f t="shared" si="1"/>
        <v>77.051862944328036</v>
      </c>
      <c r="W16">
        <f t="shared" si="1"/>
        <v>72.26118711460424</v>
      </c>
      <c r="X16">
        <f t="shared" si="1"/>
        <v>69.883647818529624</v>
      </c>
      <c r="Y16">
        <f t="shared" si="1"/>
        <v>67.506108522455037</v>
      </c>
      <c r="Z16">
        <f t="shared" si="1"/>
        <v>67.297535274227698</v>
      </c>
      <c r="AA16">
        <f t="shared" si="1"/>
        <v>67.088962026000345</v>
      </c>
      <c r="AB16">
        <f t="shared" si="1"/>
        <v>68.736044613043219</v>
      </c>
      <c r="AC16">
        <f t="shared" si="1"/>
        <v>70.383127200086093</v>
      </c>
      <c r="AD16">
        <f t="shared" si="1"/>
        <v>73.520809538578931</v>
      </c>
      <c r="AE16">
        <f t="shared" si="1"/>
        <v>76.658491877071754</v>
      </c>
      <c r="AF16">
        <f t="shared" si="1"/>
        <v>80.884877873958871</v>
      </c>
      <c r="AG16">
        <f t="shared" si="1"/>
        <v>85.111263870845988</v>
      </c>
      <c r="AH16">
        <f t="shared" si="1"/>
        <v>90.000074948392268</v>
      </c>
      <c r="AI16">
        <f t="shared" si="1"/>
        <v>94.888886025938547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Неявная схема</vt:lpstr>
      <vt:lpstr>Явная схема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2021-10-25T08:16:35Z</dcterms:modified>
</cp:coreProperties>
</file>