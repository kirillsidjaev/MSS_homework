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Аркуш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G16" i="1"/>
  <c r="C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<sst xmlns="http://schemas.openxmlformats.org/spreadsheetml/2006/main" count="12" uniqueCount="11">
  <si>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</si>
  <si>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</si>
  <si>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</si>
  <si>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</si>
  <si>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</si>
  <si>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</si>
  <si>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lambda</t>
  </si>
  <si>
    <t>T</t>
  </si>
  <si>
    <t>T_st</t>
  </si>
  <si>
    <t>T_end</t>
  </si>
  <si>
    <t>T_lt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</si>
</sst>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Аркуш1!$F$12:$AJ$12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Аркуш1!$F$13:$AJ$13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285.71206638589871</c:v>
                </c:pt>
                <c:pt idx="2">
                  <c:v>271.42413277179742</c:v>
                </c:pt>
                <c:pt idx="3">
                  <c:v>257.48006885674835</c:v>
                </c:pt>
                <c:pt idx="4">
                  <c:v>243.53600494169928</c:v>
                </c:pt>
                <c:pt idx="5">
                  <c:v>230.26276873395321</c:v>
                </c:pt>
                <c:pt idx="6">
                  <c:v>216.9895325262072</c:v>
                </c:pt>
                <c:pt idx="7">
                  <c:v>204.68133035133187</c:v>
                </c:pt>
                <c:pt idx="8">
                  <c:v>192.37312817645659</c:v>
                </c:pt>
                <c:pt idx="9">
                  <c:v>181.27761106476339</c:v>
                </c:pt>
                <c:pt idx="10">
                  <c:v>170.18209395307025</c:v>
                </c:pt>
                <c:pt idx="11">
                  <c:v>160.48935715464984</c:v>
                </c:pt>
                <c:pt idx="12">
                  <c:v>150.79662035622943</c:v>
                </c:pt>
                <c:pt idx="13">
                  <c:v>142.63151302568099</c:v>
                </c:pt>
                <c:pt idx="14">
                  <c:v>134.46640569513255</c:v>
                </c:pt>
                <c:pt idx="15">
                  <c:v>127.88437303341553</c:v>
                </c:pt>
                <c:pt idx="16">
                  <c:v>121.30234037169852</c:v>
                </c:pt>
                <c:pt idx="17">
                  <c:v>116.28874839710809</c:v>
                </c:pt>
                <c:pt idx="18">
                  <c:v>111.27515642251768</c:v>
                </c:pt>
                <c:pt idx="19">
                  <c:v>107.74782231468195</c:v>
                </c:pt>
                <c:pt idx="20">
                  <c:v>104.22048820684626</c:v>
                </c:pt>
                <c:pt idx="21">
                  <c:v>102.03497870718212</c:v>
                </c:pt>
                <c:pt idx="22">
                  <c:v>99.849469207517998</c:v>
                </c:pt>
                <c:pt idx="23">
                  <c:v>98.806644747791154</c:v>
                </c:pt>
                <c:pt idx="24">
                  <c:v>97.763820288064352</c:v>
                </c:pt>
                <c:pt idx="25">
                  <c:v>97.619089157527412</c:v>
                </c:pt>
                <c:pt idx="26">
                  <c:v>97.474358026990473</c:v>
                </c:pt>
                <c:pt idx="27">
                  <c:v>97.948147881780514</c:v>
                </c:pt>
                <c:pt idx="28">
                  <c:v>98.421937736570555</c:v>
                </c:pt>
                <c:pt idx="29">
                  <c:v>99.210968868285278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4-408B-9558-2D9554E4D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25407"/>
        <c:axId val="365825823"/>
      </c:scatterChart>
      <c:valAx>
        <c:axId val="3658254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823"/>
        <c:crosses val="autoZero"/>
        <c:crossBetween val="midCat"/>
      </c:valAx>
      <c:valAx>
        <c:axId val="3658258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58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352425</xdr:colOff>
      <xdr:row>17</xdr:row>
      <xdr:rowOff>47625</xdr:rowOff>
    </xdr:from>
    <xdr:to>
      <xdr:col>30</xdr:col>
      <xdr:colOff>581025</xdr:colOff>
      <xdr:row>42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352425</xdr:colOff>
      <xdr:row>17</xdr:row>
      <xdr:rowOff>38100</xdr:rowOff>
    </xdr:from>
    <xdr:ext cx="45890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4373225" y="327660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4373225" y="3276600"/>
              <a:ext cx="45890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30</xdr:col>
      <xdr:colOff>114300</xdr:colOff>
      <xdr:row>41</xdr:row>
      <xdr:rowOff>9525</xdr:rowOff>
    </xdr:from>
    <xdr:ext cx="4347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8402300" y="7820025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8402300" y="7820025"/>
              <a:ext cx="4347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topLeftCell="T1" workbookViewId="0">
      <selection activeCell="H19" sqref="H19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1">
        <f>(C8*C9*C4^2)/(2*C10)</f>
        <v>0.262280701754386</v>
      </c>
    </row>
    <row r="6" spans="2:36" x14ac:dyDescent="0.25">
      <c r="B6" s="1" t="s">
        <v>3</v>
      </c>
      <c r="C6" s="1">
        <v>60</v>
      </c>
      <c r="D6">
        <v>60.062280701754396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76</v>
      </c>
    </row>
    <row r="11" spans="2:36" x14ac:dyDescent="0.25">
      <c r="E11" s="1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36" x14ac:dyDescent="0.25">
      <c r="B12" s="1" t="s">
        <v>8</v>
      </c>
      <c r="C12" s="1">
        <v>300</v>
      </c>
      <c r="E12" s="1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9</v>
      </c>
      <c r="C13" s="1">
        <v>100</v>
      </c>
      <c r="E13" s="1" t="s">
        <v>7</v>
      </c>
      <c r="F13" s="1">
        <v>300</v>
      </c>
      <c r="G13" s="1">
        <v>285.71206638589871</v>
      </c>
      <c r="H13" s="1">
        <v>271.42413277179742</v>
      </c>
      <c r="I13" s="1">
        <v>257.48006885674835</v>
      </c>
      <c r="J13" s="1">
        <v>243.53600494169928</v>
      </c>
      <c r="K13" s="1">
        <v>230.26276873395321</v>
      </c>
      <c r="L13" s="1">
        <v>216.9895325262072</v>
      </c>
      <c r="M13" s="1">
        <v>204.68133035133187</v>
      </c>
      <c r="N13" s="1">
        <v>192.37312817645659</v>
      </c>
      <c r="O13" s="1">
        <v>181.27761106476339</v>
      </c>
      <c r="P13" s="1">
        <v>170.18209395307025</v>
      </c>
      <c r="Q13" s="1">
        <v>160.48935715464984</v>
      </c>
      <c r="R13" s="1">
        <v>150.79662035622943</v>
      </c>
      <c r="S13" s="1">
        <v>142.63151302568099</v>
      </c>
      <c r="T13" s="1">
        <v>134.46640569513255</v>
      </c>
      <c r="U13" s="1">
        <v>127.88437303341553</v>
      </c>
      <c r="V13" s="1">
        <v>121.30234037169852</v>
      </c>
      <c r="W13" s="1">
        <v>116.28874839710809</v>
      </c>
      <c r="X13" s="1">
        <v>111.27515642251768</v>
      </c>
      <c r="Y13" s="1">
        <v>107.74782231468195</v>
      </c>
      <c r="Z13" s="1">
        <v>104.22048820684626</v>
      </c>
      <c r="AA13" s="1">
        <v>102.03497870718212</v>
      </c>
      <c r="AB13" s="1">
        <v>99.849469207517998</v>
      </c>
      <c r="AC13" s="1">
        <v>98.806644747791154</v>
      </c>
      <c r="AD13" s="1">
        <v>97.763820288064352</v>
      </c>
      <c r="AE13" s="1">
        <v>97.619089157527412</v>
      </c>
      <c r="AF13" s="1">
        <v>97.474358026990473</v>
      </c>
      <c r="AG13" s="1">
        <v>97.948147881780514</v>
      </c>
      <c r="AH13" s="1">
        <v>98.421937736570555</v>
      </c>
      <c r="AI13" s="1">
        <v>99.210968868285278</v>
      </c>
      <c r="AJ13" s="1">
        <v>100</v>
      </c>
    </row>
    <row r="16" spans="2:36" x14ac:dyDescent="0.25">
      <c r="E16" t="s">
        <v>10</v>
      </c>
      <c r="G16">
        <f>G13+(($C$10*$C$5)/($C$9*$C$8))*((H13-2*G13+F13)/($C$4^2))</f>
        <v>285.71206638589871</v>
      </c>
      <c r="H16">
        <f t="shared" ref="H16:AJ16" si="1">H13+(($C$10*$C$5)/($C$9*$C$8))*((I13-2*H13+G13)/($C$4^2))</f>
        <v>271.59606762132353</v>
      </c>
      <c r="I16">
        <f t="shared" si="1"/>
        <v>257.48006885674835</v>
      </c>
      <c r="J16">
        <f t="shared" si="1"/>
        <v>243.87141879535076</v>
      </c>
      <c r="K16">
        <f t="shared" si="1"/>
        <v>230.26276873395324</v>
      </c>
      <c r="L16">
        <f t="shared" si="1"/>
        <v>217.47204954264254</v>
      </c>
      <c r="M16">
        <f t="shared" si="1"/>
        <v>204.68133035133189</v>
      </c>
      <c r="N16">
        <f t="shared" si="1"/>
        <v>192.97947070804764</v>
      </c>
      <c r="O16">
        <f t="shared" si="1"/>
        <v>181.27761106476342</v>
      </c>
      <c r="P16">
        <f t="shared" si="1"/>
        <v>170.88348410970661</v>
      </c>
      <c r="Q16">
        <f t="shared" si="1"/>
        <v>160.48935715464984</v>
      </c>
      <c r="R16">
        <f t="shared" si="1"/>
        <v>151.56043509016541</v>
      </c>
      <c r="S16">
        <f t="shared" si="1"/>
        <v>142.63151302568099</v>
      </c>
      <c r="T16">
        <f t="shared" si="1"/>
        <v>135.25794302954824</v>
      </c>
      <c r="U16">
        <f t="shared" si="1"/>
        <v>127.88437303341553</v>
      </c>
      <c r="V16">
        <f t="shared" si="1"/>
        <v>122.08656071526181</v>
      </c>
      <c r="W16">
        <f t="shared" si="1"/>
        <v>116.28874839710809</v>
      </c>
      <c r="X16">
        <f t="shared" si="1"/>
        <v>112.01828535589502</v>
      </c>
      <c r="Y16">
        <f t="shared" si="1"/>
        <v>107.74782231468197</v>
      </c>
      <c r="Z16">
        <f t="shared" si="1"/>
        <v>104.89140051093204</v>
      </c>
      <c r="AA16">
        <f t="shared" si="1"/>
        <v>102.03497870718212</v>
      </c>
      <c r="AB16">
        <f t="shared" si="1"/>
        <v>100.42081172748664</v>
      </c>
      <c r="AC16">
        <f t="shared" si="1"/>
        <v>98.806644747791182</v>
      </c>
      <c r="AD16">
        <f t="shared" si="1"/>
        <v>98.212866952659283</v>
      </c>
      <c r="AE16">
        <f t="shared" si="1"/>
        <v>97.619089157527412</v>
      </c>
      <c r="AF16">
        <f t="shared" si="1"/>
        <v>97.78361851965397</v>
      </c>
      <c r="AG16">
        <f t="shared" si="1"/>
        <v>97.948147881780514</v>
      </c>
      <c r="AH16">
        <f t="shared" si="1"/>
        <v>98.579558375032889</v>
      </c>
      <c r="AI16">
        <f t="shared" si="1"/>
        <v>99.210968868285278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Аркуш1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2021-09-23T03:27:58Z</dcterms:modified>
</cp:coreProperties>
</file>